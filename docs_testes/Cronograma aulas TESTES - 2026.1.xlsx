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aine/Library/CloudStorage/Dropbox/26_1_Testes de Software/"/>
    </mc:Choice>
  </mc:AlternateContent>
  <xr:revisionPtr revIDLastSave="0" documentId="13_ncr:1_{718E41D6-6743-0F44-BFC2-B39BCD6ECE87}" xr6:coauthVersionLast="47" xr6:coauthVersionMax="47" xr10:uidLastSave="{00000000-0000-0000-0000-000000000000}"/>
  <bookViews>
    <workbookView xWindow="14400" yWindow="1040" windowWidth="30800" windowHeight="24920" xr2:uid="{00000000-000D-0000-FFFF-FFFF00000000}"/>
  </bookViews>
  <sheets>
    <sheet name="26_1" sheetId="3" r:id="rId1"/>
  </sheets>
  <definedNames>
    <definedName name="_xlnm._FilterDatabase" localSheetId="0">'26_1'!$A$1:$G$34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6" i="3" s="1"/>
  <c r="D3" i="3"/>
  <c r="D5" i="3" s="1"/>
  <c r="C2" i="3"/>
  <c r="C3" i="3" l="1"/>
  <c r="D7" i="3"/>
  <c r="C5" i="3"/>
  <c r="C6" i="3"/>
  <c r="D8" i="3"/>
  <c r="C4" i="3"/>
  <c r="D10" i="3" l="1"/>
  <c r="C8" i="3"/>
  <c r="D9" i="3"/>
  <c r="C7" i="3"/>
  <c r="D11" i="3" l="1"/>
  <c r="C9" i="3"/>
  <c r="C10" i="3"/>
  <c r="D12" i="3"/>
  <c r="D14" i="3" l="1"/>
  <c r="C12" i="3"/>
  <c r="D13" i="3"/>
  <c r="C11" i="3"/>
  <c r="D15" i="3" l="1"/>
  <c r="C13" i="3"/>
  <c r="C14" i="3"/>
  <c r="D16" i="3"/>
  <c r="D18" i="3" l="1"/>
  <c r="C16" i="3"/>
  <c r="D17" i="3"/>
  <c r="C15" i="3"/>
  <c r="D19" i="3" l="1"/>
  <c r="C17" i="3"/>
  <c r="C18" i="3"/>
  <c r="D20" i="3"/>
  <c r="D22" i="3" l="1"/>
  <c r="D24" i="3" s="1"/>
  <c r="C20" i="3"/>
  <c r="D21" i="3"/>
  <c r="D23" i="3" s="1"/>
  <c r="C19" i="3"/>
  <c r="D25" i="3" l="1"/>
  <c r="C23" i="3"/>
  <c r="D26" i="3"/>
  <c r="C24" i="3"/>
  <c r="C21" i="3"/>
  <c r="C22" i="3"/>
  <c r="D28" i="3" l="1"/>
  <c r="C28" i="3" s="1"/>
  <c r="C26" i="3"/>
  <c r="D27" i="3"/>
  <c r="C27" i="3" s="1"/>
  <c r="C25" i="3"/>
  <c r="D30" i="3"/>
  <c r="D29" i="3"/>
  <c r="D31" i="3" l="1"/>
  <c r="C29" i="3"/>
  <c r="C30" i="3"/>
  <c r="D32" i="3"/>
  <c r="D34" i="3" l="1"/>
  <c r="C32" i="3"/>
  <c r="C31" i="3"/>
  <c r="D33" i="3"/>
  <c r="D35" i="3" l="1"/>
  <c r="C33" i="3"/>
  <c r="D36" i="3"/>
  <c r="C34" i="3"/>
  <c r="C35" i="3" l="1"/>
</calcChain>
</file>

<file path=xl/sharedStrings.xml><?xml version="1.0" encoding="utf-8"?>
<sst xmlns="http://schemas.openxmlformats.org/spreadsheetml/2006/main" count="63" uniqueCount="59">
  <si>
    <t>Semana</t>
  </si>
  <si>
    <t>Dia</t>
  </si>
  <si>
    <t>Data</t>
  </si>
  <si>
    <t>Tópico</t>
  </si>
  <si>
    <t>Aula</t>
  </si>
  <si>
    <t>Retrospectiva e Avaliação em Pares Parcial</t>
  </si>
  <si>
    <t>Avaliação</t>
  </si>
  <si>
    <t>Fechamento</t>
  </si>
  <si>
    <t>Revisão de Notas</t>
  </si>
  <si>
    <t>Avaliação da Disciplina e Avaliação em Pares Final</t>
  </si>
  <si>
    <t>Avaliação / Entrega</t>
  </si>
  <si>
    <t>Avaliação Substitutiva</t>
  </si>
  <si>
    <t>Introdução à disciplina e Preparação</t>
  </si>
  <si>
    <t>ANICHE, Effective Software Testing, Cap 1
MYERS, The Art of Software Testing, Cap 1 e 2</t>
  </si>
  <si>
    <t>Terça</t>
  </si>
  <si>
    <t>Plano de Aprendizagem</t>
  </si>
  <si>
    <t>Introdução OSS</t>
  </si>
  <si>
    <t>Formação de Equipes</t>
  </si>
  <si>
    <t>Quinta</t>
  </si>
  <si>
    <t>FERIADO - Tiradentes</t>
  </si>
  <si>
    <t>PONTO FACULTATIVO - Corpus Christi</t>
  </si>
  <si>
    <t>Apresentação PTOSS-1</t>
  </si>
  <si>
    <t>Módulo 1 - Fundamentos de Teste</t>
  </si>
  <si>
    <t>Prática de Teste (PTOSS-1) -&gt; Rodar os testes</t>
  </si>
  <si>
    <t>Aula - Mentalidade e Fundamentos do Teste de Software</t>
  </si>
  <si>
    <t xml:space="preserve">Módulo 2 - Design de Testes </t>
  </si>
  <si>
    <t>Aula - Testes Caixa-Preta</t>
  </si>
  <si>
    <t>Prática de Teste (PTOSS-1) -&gt; Identificar lacunas e estratégia</t>
  </si>
  <si>
    <t>Apresentação Seminário</t>
  </si>
  <si>
    <t>Aula - Testes Caixa-Branca</t>
  </si>
  <si>
    <t>Aula - Teste de Unidade</t>
  </si>
  <si>
    <t>Aula - Dublês de Teste</t>
  </si>
  <si>
    <t>Atividade Aplicação em Equipe (AAE-1)</t>
  </si>
  <si>
    <t>Atividade Aplicação em Equipe (AAE-2)</t>
  </si>
  <si>
    <t>Prática de Teste (PTOSS-2) -&gt; Teste Caixa Preta</t>
  </si>
  <si>
    <t>Prática de Teste (PTOSS-3) -&gt; Teste Caixa Branca</t>
  </si>
  <si>
    <t>Aula - TDD</t>
  </si>
  <si>
    <t>Atividade Aplicação em Equipe (AAE-3) - TDD</t>
  </si>
  <si>
    <t>Prática de Teste (PTOSS-4) -&gt; TDD</t>
  </si>
  <si>
    <t>Aula - Teste de Integração</t>
  </si>
  <si>
    <t>Módulo 3 - Testes de Unidade e Integração</t>
  </si>
  <si>
    <t>Aula - Testes Full-Stack</t>
  </si>
  <si>
    <t>Aula - Testes de Segurança</t>
  </si>
  <si>
    <t>Preparação dos Seminários</t>
  </si>
  <si>
    <t>Apresentação Final</t>
  </si>
  <si>
    <t>Prática de Teste (PTOSS-5) -&gt; Testes Full-Stack</t>
  </si>
  <si>
    <t>Aula - Ciclo de Vida do Teste de Software e Estratégia de Testes</t>
  </si>
  <si>
    <t>Prova</t>
  </si>
  <si>
    <t>ANICHE, Effective Software Testing, Cap 2 e 3
MYERS, The Art of Software Testing, Cap 4</t>
  </si>
  <si>
    <t>MYERS, The Art of Software Testing, Cap 5
ANICHE, Effective Software Testing, Cap 6, 7 e 8</t>
  </si>
  <si>
    <t xml:space="preserve">MOHAN, Cap 1 a 4 e 7
BELL,  Agile Application Security, Cap 11
</t>
  </si>
  <si>
    <t>Módulo 4 - Testes Full-Stack e Não Funcionais</t>
  </si>
  <si>
    <t>Relatório 1 - Análise inicial do projeto</t>
  </si>
  <si>
    <t>Prova Individual</t>
  </si>
  <si>
    <t>Relatório 2 - Testes Unitários</t>
  </si>
  <si>
    <t>Relatório Final</t>
  </si>
  <si>
    <t>Avaliação em Pares</t>
  </si>
  <si>
    <t>Seminário</t>
  </si>
  <si>
    <t>Material de Estudo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</si>
</sst>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1E6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0" fillId="0" borderId="0" xfId="0" applyAlignment="1">
      <alignment vertical="center" wrapText="1"/>
    </xf>
    <xf numFmtId="0" fontId="0" fillId="0" borderId="2" xfId="0" applyBorder="1"/>
    <xf numFmtId="16" fontId="0" fillId="6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ill="1" applyBorder="1"/>
    <xf numFmtId="0" fontId="0" fillId="8" borderId="2" xfId="0" applyFill="1" applyBorder="1"/>
    <xf numFmtId="16" fontId="0" fillId="0" borderId="2" xfId="0" applyNumberFormat="1" applyBorder="1" applyAlignment="1">
      <alignment horizontal="left"/>
    </xf>
    <xf numFmtId="0" fontId="4" fillId="6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center"/>
    </xf>
    <xf numFmtId="16" fontId="0" fillId="9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16" fontId="0" fillId="0" borderId="2" xfId="0" applyNumberFormat="1" applyBorder="1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2" xfId="0" applyFill="1" applyBorder="1"/>
    <xf numFmtId="0" fontId="0" fillId="9" borderId="2" xfId="0" applyFill="1" applyBorder="1" applyAlignment="1">
      <alignment horizontal="center" wrapText="1"/>
    </xf>
    <xf numFmtId="0" fontId="0" fillId="9" borderId="2" xfId="0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5" fillId="0" borderId="0" xfId="0" applyFont="1"/>
    <xf numFmtId="16" fontId="3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6" borderId="4" xfId="0" applyFont="1" applyFill="1" applyBorder="1" applyAlignment="1">
      <alignment horizontal="left"/>
    </xf>
    <xf numFmtId="0" fontId="0" fillId="0" borderId="6" xfId="0" applyBorder="1"/>
    <xf numFmtId="0" fontId="0" fillId="4" borderId="2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6" fontId="0" fillId="8" borderId="2" xfId="0" applyNumberFormat="1" applyFill="1" applyBorder="1" applyAlignment="1">
      <alignment horizontal="center"/>
    </xf>
    <xf numFmtId="16" fontId="0" fillId="4" borderId="2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" fontId="0" fillId="5" borderId="2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" fontId="0" fillId="7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" fontId="3" fillId="7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 wrapText="1"/>
    </xf>
    <xf numFmtId="16" fontId="0" fillId="0" borderId="5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0" fillId="8" borderId="2" xfId="0" applyFont="1" applyFill="1" applyBorder="1" applyAlignment="1">
      <alignment horizontal="left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/>
    </xf>
    <xf numFmtId="0" fontId="0" fillId="6" borderId="2" xfId="0" applyFill="1" applyBorder="1" applyAlignment="1">
      <alignment horizontal="center" vertical="center" wrapText="1"/>
    </xf>
    <xf numFmtId="16" fontId="0" fillId="5" borderId="2" xfId="0" applyNumberFormat="1" applyFill="1" applyBorder="1" applyAlignment="1">
      <alignment horizontal="left" vertical="center" wrapText="1"/>
    </xf>
    <xf numFmtId="0" fontId="0" fillId="9" borderId="8" xfId="0" applyFill="1" applyBorder="1" applyAlignment="1">
      <alignment horizontal="center"/>
    </xf>
    <xf numFmtId="16" fontId="0" fillId="9" borderId="4" xfId="0" applyNumberForma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16" fontId="3" fillId="10" borderId="2" xfId="0" applyNumberFormat="1" applyFont="1" applyFill="1" applyBorder="1" applyAlignment="1">
      <alignment horizontal="center"/>
    </xf>
    <xf numFmtId="0" fontId="0" fillId="10" borderId="2" xfId="0" applyFill="1" applyBorder="1" applyAlignment="1">
      <alignment vertical="center" wrapText="1"/>
    </xf>
    <xf numFmtId="0" fontId="3" fillId="10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center"/>
    </xf>
    <xf numFmtId="0" fontId="0" fillId="10" borderId="0" xfId="0" applyFill="1"/>
    <xf numFmtId="0" fontId="0" fillId="10" borderId="2" xfId="0" applyFill="1" applyBorder="1" applyAlignment="1">
      <alignment horizontal="center"/>
    </xf>
    <xf numFmtId="16" fontId="0" fillId="10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wrapText="1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6" fontId="3" fillId="4" borderId="4" xfId="0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left" wrapText="1"/>
    </xf>
    <xf numFmtId="0" fontId="4" fillId="0" borderId="6" xfId="0" applyFont="1" applyBorder="1"/>
    <xf numFmtId="0" fontId="4" fillId="9" borderId="2" xfId="0" applyFont="1" applyFill="1" applyBorder="1"/>
    <xf numFmtId="0" fontId="0" fillId="6" borderId="2" xfId="0" applyFont="1" applyFill="1" applyBorder="1" applyAlignment="1">
      <alignment horizontal="left"/>
    </xf>
    <xf numFmtId="0" fontId="0" fillId="0" borderId="0" xfId="0" applyFill="1"/>
    <xf numFmtId="0" fontId="0" fillId="9" borderId="4" xfId="0" applyFill="1" applyBorder="1" applyAlignment="1">
      <alignment horizontal="center" wrapText="1"/>
    </xf>
    <xf numFmtId="0" fontId="0" fillId="9" borderId="6" xfId="0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1E6F9"/>
      <color rgb="FFE4D5F4"/>
      <color rgb="FFFFF3CC"/>
      <color rgb="FFDEEBF8"/>
      <color rgb="FFF1E6FA"/>
      <color rgb="FFE2F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8D39-C6D7-0349-B150-2DAF46DE1EB1}">
  <sheetPr>
    <pageSetUpPr fitToPage="1"/>
  </sheetPr>
  <dimension ref="A1:H41"/>
  <sheetViews>
    <sheetView tabSelected="1" topLeftCell="C1" zoomScale="150" zoomScaleNormal="150" workbookViewId="0">
      <selection activeCell="F10" sqref="F10:F14"/>
    </sheetView>
  </sheetViews>
  <sheetFormatPr baseColWidth="10" defaultColWidth="8.83203125" defaultRowHeight="15" x14ac:dyDescent="0.2"/>
  <cols>
    <col min="1" max="1" width="8.83203125" style="2"/>
    <col min="2" max="2" width="8" style="2" bestFit="1" customWidth="1"/>
    <col min="3" max="4" width="8.83203125" style="2"/>
    <col min="5" max="5" width="20.5" customWidth="1"/>
    <col min="6" max="6" width="38" customWidth="1"/>
    <col min="7" max="7" width="53.33203125" bestFit="1" customWidth="1"/>
    <col min="8" max="8" width="30.83203125" bestFit="1" customWidth="1"/>
    <col min="11" max="11" width="4.5" customWidth="1"/>
    <col min="12" max="12" width="12.6640625" bestFit="1" customWidth="1"/>
    <col min="13" max="13" width="13" customWidth="1"/>
  </cols>
  <sheetData>
    <row r="1" spans="1:8" ht="16" x14ac:dyDescent="0.2">
      <c r="A1" s="1" t="s">
        <v>0</v>
      </c>
      <c r="B1" s="1" t="s">
        <v>4</v>
      </c>
      <c r="C1" s="3" t="s">
        <v>1</v>
      </c>
      <c r="D1" s="4" t="s">
        <v>2</v>
      </c>
      <c r="E1" s="4" t="s">
        <v>3</v>
      </c>
      <c r="F1" s="34" t="s">
        <v>58</v>
      </c>
      <c r="G1" s="34" t="s">
        <v>4</v>
      </c>
      <c r="H1" s="5" t="s">
        <v>10</v>
      </c>
    </row>
    <row r="2" spans="1:8" ht="16" customHeight="1" x14ac:dyDescent="0.2">
      <c r="A2" s="29">
        <v>1</v>
      </c>
      <c r="B2" s="29">
        <v>1</v>
      </c>
      <c r="C2" s="30" t="str">
        <f>IF(WEEKDAY(D2)=3,"Terça","Quinta")</f>
        <v>Terça</v>
      </c>
      <c r="D2" s="31">
        <v>46098</v>
      </c>
      <c r="E2" s="66" t="s">
        <v>12</v>
      </c>
      <c r="F2" s="110"/>
      <c r="G2" s="13" t="s">
        <v>15</v>
      </c>
      <c r="H2" s="21"/>
    </row>
    <row r="3" spans="1:8" x14ac:dyDescent="0.2">
      <c r="A3" s="29">
        <v>1</v>
      </c>
      <c r="B3" s="29">
        <v>2</v>
      </c>
      <c r="C3" s="30" t="str">
        <f>IF(WEEKDAY(D3)=3,"Terça","Quinta")</f>
        <v>Quinta</v>
      </c>
      <c r="D3" s="31">
        <f>D2+2</f>
        <v>46100</v>
      </c>
      <c r="E3" s="67"/>
      <c r="F3" s="111"/>
      <c r="G3" s="20" t="s">
        <v>17</v>
      </c>
      <c r="H3" s="21"/>
    </row>
    <row r="4" spans="1:8" ht="15" customHeight="1" x14ac:dyDescent="0.2">
      <c r="A4" s="29">
        <v>2</v>
      </c>
      <c r="B4" s="29">
        <v>3</v>
      </c>
      <c r="C4" s="30" t="str">
        <f t="shared" ref="C4:C35" si="0">IF(WEEKDAY(D4)=3,"Terça","Quinta")</f>
        <v>Terça</v>
      </c>
      <c r="D4" s="31">
        <f>D2+7</f>
        <v>46105</v>
      </c>
      <c r="E4" s="67"/>
      <c r="F4" s="112"/>
      <c r="G4" s="58" t="s">
        <v>16</v>
      </c>
      <c r="H4" s="21"/>
    </row>
    <row r="5" spans="1:8" ht="15" customHeight="1" x14ac:dyDescent="0.2">
      <c r="A5" s="25">
        <v>2</v>
      </c>
      <c r="B5" s="25">
        <v>4</v>
      </c>
      <c r="C5" s="24" t="str">
        <f t="shared" si="0"/>
        <v>Quinta</v>
      </c>
      <c r="D5" s="9">
        <f>D3+7</f>
        <v>46107</v>
      </c>
      <c r="E5" s="80" t="s">
        <v>22</v>
      </c>
      <c r="F5" s="80" t="s">
        <v>13</v>
      </c>
      <c r="G5" s="59" t="s">
        <v>24</v>
      </c>
      <c r="H5" s="9"/>
    </row>
    <row r="6" spans="1:8" ht="15" customHeight="1" x14ac:dyDescent="0.2">
      <c r="A6" s="25">
        <v>3</v>
      </c>
      <c r="B6" s="25">
        <v>5</v>
      </c>
      <c r="C6" s="24" t="str">
        <f t="shared" si="0"/>
        <v>Terça</v>
      </c>
      <c r="D6" s="9">
        <f t="shared" ref="D6:D36" si="1">D4+7</f>
        <v>46112</v>
      </c>
      <c r="E6" s="80"/>
      <c r="F6" s="80"/>
      <c r="G6" s="59" t="s">
        <v>46</v>
      </c>
      <c r="H6" s="9"/>
    </row>
    <row r="7" spans="1:8" ht="15" customHeight="1" x14ac:dyDescent="0.2">
      <c r="A7" s="25">
        <v>3</v>
      </c>
      <c r="B7" s="25">
        <v>6</v>
      </c>
      <c r="C7" s="24" t="str">
        <f t="shared" si="0"/>
        <v>Quinta</v>
      </c>
      <c r="D7" s="9">
        <f t="shared" si="1"/>
        <v>46114</v>
      </c>
      <c r="E7" s="80"/>
      <c r="F7" s="80"/>
      <c r="G7" s="106" t="s">
        <v>23</v>
      </c>
      <c r="H7" s="9"/>
    </row>
    <row r="8" spans="1:8" x14ac:dyDescent="0.2">
      <c r="A8" s="25">
        <v>4</v>
      </c>
      <c r="B8" s="25">
        <v>7</v>
      </c>
      <c r="C8" s="24" t="str">
        <f t="shared" si="0"/>
        <v>Terça</v>
      </c>
      <c r="D8" s="9">
        <f t="shared" si="1"/>
        <v>46119</v>
      </c>
      <c r="E8" s="80"/>
      <c r="F8" s="80"/>
      <c r="G8" s="106" t="s">
        <v>27</v>
      </c>
      <c r="H8" s="9"/>
    </row>
    <row r="9" spans="1:8" ht="15" customHeight="1" x14ac:dyDescent="0.2">
      <c r="A9" s="25">
        <v>4</v>
      </c>
      <c r="B9" s="25">
        <v>8</v>
      </c>
      <c r="C9" s="24" t="str">
        <f t="shared" si="0"/>
        <v>Quinta</v>
      </c>
      <c r="D9" s="9">
        <f t="shared" si="1"/>
        <v>46121</v>
      </c>
      <c r="E9" s="80"/>
      <c r="F9" s="80"/>
      <c r="G9" s="38" t="s">
        <v>21</v>
      </c>
      <c r="H9" s="14" t="s">
        <v>52</v>
      </c>
    </row>
    <row r="10" spans="1:8" ht="15" customHeight="1" x14ac:dyDescent="0.2">
      <c r="A10" s="100">
        <v>5</v>
      </c>
      <c r="B10" s="100">
        <v>9</v>
      </c>
      <c r="C10" s="101" t="str">
        <f t="shared" si="0"/>
        <v>Terça</v>
      </c>
      <c r="D10" s="102">
        <f>D8+7</f>
        <v>46126</v>
      </c>
      <c r="E10" s="75" t="s">
        <v>25</v>
      </c>
      <c r="F10" s="68" t="s">
        <v>48</v>
      </c>
      <c r="G10" s="40" t="s">
        <v>26</v>
      </c>
      <c r="H10" s="37"/>
    </row>
    <row r="11" spans="1:8" ht="16" customHeight="1" x14ac:dyDescent="0.2">
      <c r="A11" s="37">
        <v>5</v>
      </c>
      <c r="B11" s="37">
        <v>10</v>
      </c>
      <c r="C11" s="37" t="str">
        <f t="shared" si="0"/>
        <v>Quinta</v>
      </c>
      <c r="D11" s="36">
        <f>D9+7</f>
        <v>46128</v>
      </c>
      <c r="E11" s="75"/>
      <c r="F11" s="68"/>
      <c r="G11" s="72" t="s">
        <v>32</v>
      </c>
      <c r="H11" s="37"/>
    </row>
    <row r="12" spans="1:8" s="107" customFormat="1" ht="16" customHeight="1" x14ac:dyDescent="0.2">
      <c r="A12" s="93">
        <v>6</v>
      </c>
      <c r="B12" s="93">
        <v>11</v>
      </c>
      <c r="C12" s="93" t="str">
        <f t="shared" si="0"/>
        <v>Terça</v>
      </c>
      <c r="D12" s="94">
        <f t="shared" si="1"/>
        <v>46133</v>
      </c>
      <c r="E12" s="75"/>
      <c r="F12" s="68"/>
      <c r="G12" s="92" t="s">
        <v>19</v>
      </c>
      <c r="H12" s="93"/>
    </row>
    <row r="13" spans="1:8" s="35" customFormat="1" ht="16" x14ac:dyDescent="0.2">
      <c r="A13" s="37">
        <v>6</v>
      </c>
      <c r="B13" s="37">
        <v>12</v>
      </c>
      <c r="C13" s="37" t="str">
        <f t="shared" si="0"/>
        <v>Quinta</v>
      </c>
      <c r="D13" s="44">
        <f t="shared" si="1"/>
        <v>46135</v>
      </c>
      <c r="E13" s="75"/>
      <c r="F13" s="68"/>
      <c r="G13" s="40" t="s">
        <v>29</v>
      </c>
      <c r="H13" s="37"/>
    </row>
    <row r="14" spans="1:8" ht="15" customHeight="1" x14ac:dyDescent="0.2">
      <c r="A14" s="37">
        <v>7</v>
      </c>
      <c r="B14" s="37">
        <v>13</v>
      </c>
      <c r="C14" s="37" t="str">
        <f t="shared" si="0"/>
        <v>Terça</v>
      </c>
      <c r="D14" s="44">
        <f t="shared" si="1"/>
        <v>46140</v>
      </c>
      <c r="E14" s="76"/>
      <c r="F14" s="68"/>
      <c r="G14" s="72" t="s">
        <v>33</v>
      </c>
      <c r="H14" s="26"/>
    </row>
    <row r="15" spans="1:8" ht="15" customHeight="1" x14ac:dyDescent="0.2">
      <c r="A15" s="33">
        <v>7</v>
      </c>
      <c r="B15" s="33">
        <v>14</v>
      </c>
      <c r="C15" s="33" t="str">
        <f t="shared" si="0"/>
        <v>Quinta</v>
      </c>
      <c r="D15" s="19">
        <f t="shared" si="1"/>
        <v>46142</v>
      </c>
      <c r="E15" s="77" t="s">
        <v>6</v>
      </c>
      <c r="F15" s="108"/>
      <c r="G15" s="79" t="s">
        <v>47</v>
      </c>
      <c r="H15" s="104" t="s">
        <v>53</v>
      </c>
    </row>
    <row r="16" spans="1:8" ht="16" customHeight="1" x14ac:dyDescent="0.2">
      <c r="A16" s="45">
        <v>8</v>
      </c>
      <c r="B16" s="45">
        <v>15</v>
      </c>
      <c r="C16" s="46" t="str">
        <f t="shared" si="0"/>
        <v>Terça</v>
      </c>
      <c r="D16" s="47">
        <f t="shared" si="1"/>
        <v>46147</v>
      </c>
      <c r="E16" s="78"/>
      <c r="F16" s="109"/>
      <c r="G16" s="103" t="s">
        <v>5</v>
      </c>
      <c r="H16" s="39"/>
    </row>
    <row r="17" spans="1:8" ht="15" customHeight="1" x14ac:dyDescent="0.2">
      <c r="A17" s="48">
        <v>8</v>
      </c>
      <c r="B17" s="48">
        <v>16</v>
      </c>
      <c r="C17" s="49" t="str">
        <f t="shared" si="0"/>
        <v>Quinta</v>
      </c>
      <c r="D17" s="50">
        <f t="shared" si="1"/>
        <v>46149</v>
      </c>
      <c r="E17" s="63" t="s">
        <v>40</v>
      </c>
      <c r="F17" s="63" t="s">
        <v>49</v>
      </c>
      <c r="G17" s="10" t="s">
        <v>30</v>
      </c>
      <c r="H17" s="11"/>
    </row>
    <row r="18" spans="1:8" ht="15" customHeight="1" x14ac:dyDescent="0.2">
      <c r="A18" s="48">
        <v>9</v>
      </c>
      <c r="B18" s="48">
        <v>17</v>
      </c>
      <c r="C18" s="49" t="str">
        <f t="shared" si="0"/>
        <v>Terça</v>
      </c>
      <c r="D18" s="50">
        <f t="shared" si="1"/>
        <v>46154</v>
      </c>
      <c r="E18" s="64"/>
      <c r="F18" s="64"/>
      <c r="G18" s="73" t="s">
        <v>31</v>
      </c>
      <c r="H18" s="16"/>
    </row>
    <row r="19" spans="1:8" ht="15" customHeight="1" x14ac:dyDescent="0.2">
      <c r="A19" s="48">
        <v>9</v>
      </c>
      <c r="B19" s="48">
        <v>18</v>
      </c>
      <c r="C19" s="49" t="str">
        <f t="shared" si="0"/>
        <v>Quinta</v>
      </c>
      <c r="D19" s="50">
        <f t="shared" si="1"/>
        <v>46156</v>
      </c>
      <c r="E19" s="64"/>
      <c r="F19" s="64"/>
      <c r="G19" s="73" t="s">
        <v>34</v>
      </c>
      <c r="H19" s="16"/>
    </row>
    <row r="20" spans="1:8" ht="15" customHeight="1" x14ac:dyDescent="0.2">
      <c r="A20" s="48">
        <v>10</v>
      </c>
      <c r="B20" s="48">
        <v>19</v>
      </c>
      <c r="C20" s="49" t="str">
        <f t="shared" si="0"/>
        <v>Terça</v>
      </c>
      <c r="D20" s="50">
        <f t="shared" si="1"/>
        <v>46161</v>
      </c>
      <c r="E20" s="64"/>
      <c r="F20" s="64"/>
      <c r="G20" s="73" t="s">
        <v>35</v>
      </c>
      <c r="H20" s="16"/>
    </row>
    <row r="21" spans="1:8" ht="16" customHeight="1" x14ac:dyDescent="0.2">
      <c r="A21" s="51">
        <v>10</v>
      </c>
      <c r="B21" s="51">
        <v>20</v>
      </c>
      <c r="C21" s="52" t="str">
        <f t="shared" si="0"/>
        <v>Quinta</v>
      </c>
      <c r="D21" s="53">
        <f t="shared" si="1"/>
        <v>46163</v>
      </c>
      <c r="E21" s="64"/>
      <c r="F21" s="64"/>
      <c r="G21" s="81" t="s">
        <v>39</v>
      </c>
      <c r="H21" s="16"/>
    </row>
    <row r="22" spans="1:8" ht="15" customHeight="1" x14ac:dyDescent="0.2">
      <c r="A22" s="51">
        <v>11</v>
      </c>
      <c r="B22" s="51">
        <v>21</v>
      </c>
      <c r="C22" s="52" t="str">
        <f t="shared" si="0"/>
        <v>Terça</v>
      </c>
      <c r="D22" s="53">
        <f>D20+7</f>
        <v>46168</v>
      </c>
      <c r="E22" s="64"/>
      <c r="F22" s="64"/>
      <c r="G22" s="73" t="s">
        <v>36</v>
      </c>
      <c r="H22" s="16"/>
    </row>
    <row r="23" spans="1:8" ht="16" customHeight="1" x14ac:dyDescent="0.2">
      <c r="A23" s="51">
        <v>11</v>
      </c>
      <c r="B23" s="51">
        <v>22</v>
      </c>
      <c r="C23" s="52" t="str">
        <f t="shared" si="0"/>
        <v>Quinta</v>
      </c>
      <c r="D23" s="53">
        <f>D21+7</f>
        <v>46170</v>
      </c>
      <c r="E23" s="64"/>
      <c r="F23" s="64"/>
      <c r="G23" s="73" t="s">
        <v>37</v>
      </c>
      <c r="H23" s="16"/>
    </row>
    <row r="24" spans="1:8" ht="15" customHeight="1" x14ac:dyDescent="0.2">
      <c r="A24" s="55">
        <v>12</v>
      </c>
      <c r="B24" s="55">
        <v>23</v>
      </c>
      <c r="C24" s="56" t="str">
        <f t="shared" si="0"/>
        <v>Terça</v>
      </c>
      <c r="D24" s="57">
        <f>D22+7</f>
        <v>46175</v>
      </c>
      <c r="E24" s="65"/>
      <c r="F24" s="64"/>
      <c r="G24" s="73" t="s">
        <v>38</v>
      </c>
      <c r="H24" s="15" t="s">
        <v>54</v>
      </c>
    </row>
    <row r="25" spans="1:8" s="107" customFormat="1" ht="15" customHeight="1" x14ac:dyDescent="0.2">
      <c r="A25" s="86">
        <v>12</v>
      </c>
      <c r="B25" s="86">
        <v>24</v>
      </c>
      <c r="C25" s="87" t="str">
        <f t="shared" si="0"/>
        <v>Quinta</v>
      </c>
      <c r="D25" s="88">
        <f>D23+7</f>
        <v>46177</v>
      </c>
      <c r="E25" s="89"/>
      <c r="F25" s="89"/>
      <c r="G25" s="90" t="s">
        <v>20</v>
      </c>
      <c r="H25" s="91"/>
    </row>
    <row r="26" spans="1:8" ht="16" x14ac:dyDescent="0.2">
      <c r="A26" s="41">
        <v>13</v>
      </c>
      <c r="B26" s="41">
        <v>25</v>
      </c>
      <c r="C26" s="42" t="str">
        <f t="shared" si="0"/>
        <v>Terça</v>
      </c>
      <c r="D26" s="43">
        <f t="shared" ref="D26:D28" si="2">D24+7</f>
        <v>46182</v>
      </c>
      <c r="E26" s="60" t="s">
        <v>51</v>
      </c>
      <c r="F26" s="60" t="s">
        <v>50</v>
      </c>
      <c r="G26" s="95" t="s">
        <v>41</v>
      </c>
      <c r="H26" s="12"/>
    </row>
    <row r="27" spans="1:8" s="35" customFormat="1" ht="15" customHeight="1" x14ac:dyDescent="0.2">
      <c r="A27" s="41">
        <v>13</v>
      </c>
      <c r="B27" s="41">
        <v>26</v>
      </c>
      <c r="C27" s="42" t="str">
        <f t="shared" si="0"/>
        <v>Quinta</v>
      </c>
      <c r="D27" s="43">
        <f t="shared" si="2"/>
        <v>46184</v>
      </c>
      <c r="E27" s="61"/>
      <c r="F27" s="61"/>
      <c r="G27" s="74" t="s">
        <v>45</v>
      </c>
      <c r="H27" s="12"/>
    </row>
    <row r="28" spans="1:8" ht="15" customHeight="1" x14ac:dyDescent="0.2">
      <c r="A28" s="41">
        <v>14</v>
      </c>
      <c r="B28" s="41">
        <v>27</v>
      </c>
      <c r="C28" s="42" t="str">
        <f t="shared" si="0"/>
        <v>Terça</v>
      </c>
      <c r="D28" s="43">
        <f t="shared" si="2"/>
        <v>46189</v>
      </c>
      <c r="E28" s="61"/>
      <c r="F28" s="61"/>
      <c r="G28" s="74" t="s">
        <v>42</v>
      </c>
      <c r="H28" s="18"/>
    </row>
    <row r="29" spans="1:8" ht="15" customHeight="1" x14ac:dyDescent="0.2">
      <c r="A29" s="41">
        <v>14</v>
      </c>
      <c r="B29" s="41">
        <v>28</v>
      </c>
      <c r="C29" s="42" t="str">
        <f t="shared" si="0"/>
        <v>Quinta</v>
      </c>
      <c r="D29" s="43">
        <f t="shared" si="1"/>
        <v>46191</v>
      </c>
      <c r="E29" s="61"/>
      <c r="F29" s="61"/>
      <c r="G29" s="74" t="s">
        <v>43</v>
      </c>
      <c r="H29" s="12"/>
    </row>
    <row r="30" spans="1:8" ht="16" customHeight="1" x14ac:dyDescent="0.2">
      <c r="A30" s="41">
        <v>15</v>
      </c>
      <c r="B30" s="41">
        <v>29</v>
      </c>
      <c r="C30" s="42" t="str">
        <f t="shared" si="0"/>
        <v>Terça</v>
      </c>
      <c r="D30" s="43">
        <f t="shared" si="1"/>
        <v>46196</v>
      </c>
      <c r="E30" s="61"/>
      <c r="F30" s="61"/>
      <c r="G30" s="17" t="s">
        <v>28</v>
      </c>
      <c r="H30" s="17" t="s">
        <v>57</v>
      </c>
    </row>
    <row r="31" spans="1:8" ht="16" x14ac:dyDescent="0.2">
      <c r="A31" s="41">
        <v>15</v>
      </c>
      <c r="B31" s="41">
        <v>30</v>
      </c>
      <c r="C31" s="42" t="str">
        <f t="shared" si="0"/>
        <v>Quinta</v>
      </c>
      <c r="D31" s="43">
        <f t="shared" si="1"/>
        <v>46198</v>
      </c>
      <c r="E31" s="62"/>
      <c r="F31" s="62"/>
      <c r="G31" s="96" t="s">
        <v>28</v>
      </c>
      <c r="H31" s="17"/>
    </row>
    <row r="32" spans="1:8" x14ac:dyDescent="0.2">
      <c r="A32" s="32">
        <v>16</v>
      </c>
      <c r="B32" s="32">
        <v>31</v>
      </c>
      <c r="C32" s="82" t="str">
        <f t="shared" si="0"/>
        <v>Terça</v>
      </c>
      <c r="D32" s="83">
        <f t="shared" si="1"/>
        <v>46203</v>
      </c>
      <c r="E32" s="69" t="s">
        <v>7</v>
      </c>
      <c r="F32" s="69"/>
      <c r="G32" s="97" t="s">
        <v>44</v>
      </c>
      <c r="H32" s="105" t="s">
        <v>55</v>
      </c>
    </row>
    <row r="33" spans="1:8" ht="16" customHeight="1" x14ac:dyDescent="0.2">
      <c r="A33" s="84">
        <v>16</v>
      </c>
      <c r="B33" s="82">
        <v>32</v>
      </c>
      <c r="C33" s="85" t="str">
        <f t="shared" si="0"/>
        <v>Quinta</v>
      </c>
      <c r="D33" s="83">
        <f t="shared" si="1"/>
        <v>46205</v>
      </c>
      <c r="E33" s="70"/>
      <c r="F33" s="70"/>
      <c r="G33" s="97" t="s">
        <v>44</v>
      </c>
      <c r="H33" s="27"/>
    </row>
    <row r="34" spans="1:8" ht="16" customHeight="1" x14ac:dyDescent="0.2">
      <c r="A34" s="33">
        <v>17</v>
      </c>
      <c r="B34" s="33">
        <v>33</v>
      </c>
      <c r="C34" s="33" t="str">
        <f t="shared" si="0"/>
        <v>Terça</v>
      </c>
      <c r="D34" s="19">
        <f t="shared" si="1"/>
        <v>46210</v>
      </c>
      <c r="E34" s="70"/>
      <c r="F34" s="70"/>
      <c r="G34" s="98" t="s">
        <v>9</v>
      </c>
      <c r="H34" s="99" t="s">
        <v>56</v>
      </c>
    </row>
    <row r="35" spans="1:8" ht="16" customHeight="1" x14ac:dyDescent="0.2">
      <c r="A35" s="33">
        <v>17</v>
      </c>
      <c r="B35" s="33">
        <v>34</v>
      </c>
      <c r="C35" s="33" t="str">
        <f t="shared" si="0"/>
        <v>Quinta</v>
      </c>
      <c r="D35" s="19">
        <f t="shared" si="1"/>
        <v>46212</v>
      </c>
      <c r="E35" s="70"/>
      <c r="F35" s="70"/>
      <c r="G35" s="99" t="s">
        <v>11</v>
      </c>
      <c r="H35" s="28"/>
    </row>
    <row r="36" spans="1:8" x14ac:dyDescent="0.2">
      <c r="A36" s="33">
        <v>18</v>
      </c>
      <c r="B36" s="33">
        <v>35</v>
      </c>
      <c r="C36" s="33" t="s">
        <v>14</v>
      </c>
      <c r="D36" s="19">
        <f t="shared" si="1"/>
        <v>46217</v>
      </c>
      <c r="E36" s="70"/>
      <c r="F36" s="70"/>
      <c r="G36" s="20" t="s">
        <v>8</v>
      </c>
      <c r="H36" s="28"/>
    </row>
    <row r="37" spans="1:8" x14ac:dyDescent="0.2">
      <c r="A37" s="54">
        <v>18</v>
      </c>
      <c r="B37" s="54">
        <v>36</v>
      </c>
      <c r="C37" s="54" t="s">
        <v>18</v>
      </c>
      <c r="D37" s="31">
        <v>46219</v>
      </c>
      <c r="E37" s="71"/>
      <c r="F37" s="71"/>
      <c r="G37" s="20" t="s">
        <v>8</v>
      </c>
      <c r="H37" s="8"/>
    </row>
    <row r="38" spans="1:8" x14ac:dyDescent="0.2">
      <c r="D38" s="22"/>
      <c r="E38" s="23"/>
      <c r="F38" s="7"/>
      <c r="G38" s="7"/>
      <c r="H38" s="7"/>
    </row>
    <row r="39" spans="1:8" x14ac:dyDescent="0.2">
      <c r="E39" s="6"/>
      <c r="F39" s="7"/>
      <c r="G39" s="7"/>
    </row>
    <row r="40" spans="1:8" ht="45" customHeight="1" x14ac:dyDescent="0.2">
      <c r="F40" s="7"/>
      <c r="G40" s="7"/>
    </row>
    <row r="41" spans="1:8" x14ac:dyDescent="0.2">
      <c r="F41" s="7"/>
    </row>
  </sheetData>
  <autoFilter ref="A1:G34" xr:uid="{00000000-0001-0000-0000-000000000000}"/>
  <mergeCells count="14">
    <mergeCell ref="F2:F4"/>
    <mergeCell ref="E17:E24"/>
    <mergeCell ref="E2:E4"/>
    <mergeCell ref="E5:E9"/>
    <mergeCell ref="E10:E14"/>
    <mergeCell ref="E15:E16"/>
    <mergeCell ref="E26:E31"/>
    <mergeCell ref="E32:E37"/>
    <mergeCell ref="F5:F9"/>
    <mergeCell ref="F10:F14"/>
    <mergeCell ref="F17:F24"/>
    <mergeCell ref="F26:F31"/>
    <mergeCell ref="F15:F16"/>
    <mergeCell ref="F32:F37"/>
  </mergeCells>
  <pageMargins left="0.7" right="0.7" top="0.75" bottom="0.75" header="0.3" footer="0.3"/>
  <pageSetup paperSize="9" scale="7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26_1</vt:lpstr>
      <vt:lpstr>'26_1'!_FiltrarBancodeDados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Elaine Venson</cp:lastModifiedBy>
  <cp:revision/>
  <cp:lastPrinted>2023-08-25T19:53:25Z</cp:lastPrinted>
  <dcterms:created xsi:type="dcterms:W3CDTF">2021-07-14T12:52:20Z</dcterms:created>
  <dcterms:modified xsi:type="dcterms:W3CDTF">2026-03-18T22:41:59Z</dcterms:modified>
  <cp:category/>
  <cp:contentStatus/>
</cp:coreProperties>
</file>